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ac/Downloads/"/>
    </mc:Choice>
  </mc:AlternateContent>
  <xr:revisionPtr revIDLastSave="0" documentId="8_{04FAF1BC-BB73-3C40-9233-50A679ADEA6C}" xr6:coauthVersionLast="47" xr6:coauthVersionMax="47" xr10:uidLastSave="{00000000-0000-0000-0000-000000000000}"/>
  <bookViews>
    <workbookView xWindow="11240" yWindow="760" windowWidth="18160" windowHeight="17220" activeTab="1" xr2:uid="{1698DB71-FF2C-D842-9E43-BC7AEC68AF41}"/>
  </bookViews>
  <sheets>
    <sheet name="Information" sheetId="2" r:id="rId1"/>
    <sheet name="Analysis v2.0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1" i="6" l="1"/>
  <c r="F41" i="6"/>
  <c r="E41" i="6"/>
  <c r="D41" i="6"/>
  <c r="C41" i="6"/>
  <c r="E40" i="6"/>
  <c r="D40" i="6"/>
  <c r="C40" i="6"/>
  <c r="C35" i="6"/>
  <c r="E55" i="6"/>
  <c r="D54" i="6"/>
  <c r="D53" i="6"/>
  <c r="C53" i="6"/>
  <c r="C54" i="6"/>
  <c r="C56" i="6"/>
  <c r="D57" i="6"/>
  <c r="C57" i="6"/>
  <c r="E51" i="6"/>
  <c r="D51" i="6"/>
  <c r="C51" i="6"/>
  <c r="C47" i="6"/>
  <c r="D61" i="6"/>
  <c r="C61" i="6"/>
  <c r="D25" i="6"/>
  <c r="F9" i="6"/>
  <c r="E9" i="6"/>
  <c r="E17" i="6"/>
  <c r="H28" i="6"/>
  <c r="D28" i="6"/>
  <c r="E28" i="6"/>
  <c r="F28" i="6"/>
  <c r="H27" i="6"/>
  <c r="F23" i="6"/>
  <c r="D24" i="6"/>
  <c r="D23" i="6"/>
  <c r="C68" i="6"/>
  <c r="C72" i="6"/>
  <c r="D47" i="6"/>
  <c r="D48" i="6"/>
  <c r="B28" i="6"/>
  <c r="C69" i="6"/>
  <c r="B68" i="6"/>
  <c r="D14" i="6"/>
  <c r="C48" i="6" l="1"/>
  <c r="B9" i="6"/>
  <c r="D16" i="6" s="1"/>
  <c r="C67" i="6"/>
  <c r="B67" i="6"/>
  <c r="E36" i="6"/>
  <c r="E37" i="6"/>
  <c r="E38" i="6"/>
  <c r="E39" i="6"/>
  <c r="E35" i="6"/>
  <c r="D36" i="6"/>
  <c r="D37" i="6"/>
  <c r="D38" i="6"/>
  <c r="D39" i="6"/>
  <c r="D35" i="6"/>
  <c r="F36" i="6" l="1"/>
  <c r="D15" i="6"/>
  <c r="E15" i="6" s="1"/>
  <c r="D17" i="6"/>
  <c r="E23" i="6" l="1"/>
  <c r="E27" i="6"/>
  <c r="F35" i="6" l="1"/>
  <c r="G9" i="6"/>
  <c r="G8" i="6"/>
  <c r="G7" i="6"/>
  <c r="G6" i="6"/>
  <c r="G5" i="6"/>
  <c r="G4" i="6"/>
  <c r="B69" i="6"/>
  <c r="G71" i="6"/>
  <c r="G73" i="6" s="1"/>
  <c r="F71" i="6"/>
  <c r="F73" i="6" s="1"/>
  <c r="E47" i="6" l="1"/>
  <c r="E48" i="6"/>
  <c r="E46" i="6"/>
  <c r="C28" i="6"/>
  <c r="B17" i="6"/>
  <c r="E16" i="6"/>
  <c r="E14" i="6"/>
  <c r="F27" i="6" l="1"/>
  <c r="D26" i="6"/>
  <c r="D27" i="6"/>
  <c r="F38" i="6"/>
  <c r="F39" i="6"/>
  <c r="F25" i="6"/>
  <c r="F40" i="6"/>
  <c r="F37" i="6"/>
  <c r="F26" i="6"/>
  <c r="F24" i="6"/>
  <c r="E26" i="6"/>
  <c r="E25" i="6"/>
  <c r="E24" i="6"/>
  <c r="G40" i="6" l="1"/>
  <c r="G27" i="6"/>
  <c r="G23" i="6"/>
  <c r="H23" i="6"/>
  <c r="G24" i="6"/>
  <c r="H24" i="6"/>
  <c r="C36" i="6" s="1"/>
  <c r="G25" i="6"/>
  <c r="H25" i="6"/>
  <c r="C37" i="6" s="1"/>
  <c r="G26" i="6"/>
  <c r="H26" i="6"/>
  <c r="D56" i="6" l="1"/>
  <c r="B77" i="6"/>
  <c r="C77" i="6"/>
  <c r="G28" i="6"/>
  <c r="C39" i="6"/>
  <c r="G39" i="6" s="1"/>
  <c r="C38" i="6"/>
  <c r="G38" i="6" s="1"/>
  <c r="G36" i="6"/>
  <c r="G37" i="6"/>
  <c r="D55" i="6" l="1"/>
  <c r="C76" i="6"/>
  <c r="C75" i="6"/>
  <c r="C52" i="6"/>
  <c r="C73" i="6"/>
  <c r="D52" i="6"/>
  <c r="E52" i="6" s="1"/>
  <c r="B73" i="6"/>
  <c r="G35" i="6"/>
  <c r="B72" i="6" s="1"/>
  <c r="B75" i="6"/>
  <c r="C55" i="6"/>
  <c r="B76" i="6"/>
  <c r="E56" i="6"/>
  <c r="B78" i="6" l="1"/>
  <c r="B80" i="6" s="1"/>
  <c r="C78" i="6"/>
  <c r="C80" i="6" s="1"/>
  <c r="E53" i="6"/>
  <c r="D59" i="6"/>
  <c r="D62" i="6" s="1"/>
  <c r="E54" i="6"/>
  <c r="E57" i="6" l="1"/>
  <c r="E59" i="6" s="1"/>
  <c r="C59" i="6"/>
  <c r="C62" i="6" s="1"/>
</calcChain>
</file>

<file path=xl/sharedStrings.xml><?xml version="1.0" encoding="utf-8"?>
<sst xmlns="http://schemas.openxmlformats.org/spreadsheetml/2006/main" count="145" uniqueCount="100">
  <si>
    <t>Created by</t>
  </si>
  <si>
    <t>Version number</t>
  </si>
  <si>
    <t>Purpose</t>
  </si>
  <si>
    <t>Activity Centres</t>
  </si>
  <si>
    <t>Travel</t>
  </si>
  <si>
    <t>Training</t>
  </si>
  <si>
    <t>Operations</t>
  </si>
  <si>
    <t xml:space="preserve">Head Office </t>
  </si>
  <si>
    <t>No. of Clients</t>
  </si>
  <si>
    <t>Case Management</t>
  </si>
  <si>
    <t>Total</t>
  </si>
  <si>
    <t>Costs Incurred</t>
  </si>
  <si>
    <t>Costs</t>
  </si>
  <si>
    <t>Head Office</t>
  </si>
  <si>
    <t>Annual Assessments</t>
  </si>
  <si>
    <t>Annual Vists</t>
  </si>
  <si>
    <t>Support Worker Hours</t>
  </si>
  <si>
    <t>RN Hours</t>
  </si>
  <si>
    <t>No. of Visits</t>
  </si>
  <si>
    <t>Activity Level</t>
  </si>
  <si>
    <t>Complex</t>
  </si>
  <si>
    <t>Activity Driver Rate</t>
  </si>
  <si>
    <t>Activities</t>
  </si>
  <si>
    <t>Support Worker Training</t>
  </si>
  <si>
    <t>RN Training</t>
  </si>
  <si>
    <t>Non Complex</t>
  </si>
  <si>
    <t>Non-Complex</t>
  </si>
  <si>
    <t>Support Worker Costs</t>
  </si>
  <si>
    <t>Registered Nurse Costs</t>
  </si>
  <si>
    <t>Overheads</t>
  </si>
  <si>
    <t>Rates</t>
  </si>
  <si>
    <t>Total Costs</t>
  </si>
  <si>
    <t>Cost per Client</t>
  </si>
  <si>
    <t xml:space="preserve">Activity Centres </t>
  </si>
  <si>
    <t>Resource Drivers</t>
  </si>
  <si>
    <t>Total Resource Driver Units</t>
  </si>
  <si>
    <t>Resource Driver Rate</t>
  </si>
  <si>
    <t>Salaries</t>
  </si>
  <si>
    <t>Rent</t>
  </si>
  <si>
    <t>Electricity</t>
  </si>
  <si>
    <t>Sundry</t>
  </si>
  <si>
    <t>Square Metres</t>
  </si>
  <si>
    <t>Activity Cost Pools</t>
  </si>
  <si>
    <t xml:space="preserve">No. of Assessments </t>
  </si>
  <si>
    <t xml:space="preserve">Total Hours </t>
  </si>
  <si>
    <t>Assign Costs to Activity Cost Pool</t>
  </si>
  <si>
    <t xml:space="preserve">Activity Driver </t>
  </si>
  <si>
    <t>Calculate Activity Driver Rate</t>
  </si>
  <si>
    <t>Direct Materials</t>
  </si>
  <si>
    <t>Total Overhead Costs</t>
  </si>
  <si>
    <t>Clients</t>
  </si>
  <si>
    <t>Wellbeing Home Healthcare ABC analysis</t>
  </si>
  <si>
    <t>Change Log</t>
  </si>
  <si>
    <t>Date of Change</t>
  </si>
  <si>
    <t>Reason for Change</t>
  </si>
  <si>
    <t>Change Made</t>
  </si>
  <si>
    <t>Activity Costs Pools</t>
  </si>
  <si>
    <t>Activity</t>
  </si>
  <si>
    <t xml:space="preserve">Complex </t>
  </si>
  <si>
    <t xml:space="preserve">added "Activity" column under driver rate calculation </t>
  </si>
  <si>
    <t>Makes it clearer what the driver is for each activity.</t>
  </si>
  <si>
    <t xml:space="preserve">Direct Materials </t>
  </si>
  <si>
    <t xml:space="preserve">Case Management </t>
  </si>
  <si>
    <t>Total Costs per client</t>
  </si>
  <si>
    <t>Client A usage</t>
  </si>
  <si>
    <t>Client B usage</t>
  </si>
  <si>
    <t>Client A (non-complex)</t>
  </si>
  <si>
    <t>Client B (complex)</t>
  </si>
  <si>
    <t>SW Hours</t>
  </si>
  <si>
    <t>Total Hours</t>
  </si>
  <si>
    <t>Client Details</t>
  </si>
  <si>
    <t>Support Worker</t>
  </si>
  <si>
    <t>Registered Nurse</t>
  </si>
  <si>
    <t>Worker Rates</t>
  </si>
  <si>
    <t>Activity Drivers</t>
  </si>
  <si>
    <t>Number of Assessments</t>
  </si>
  <si>
    <t>Number of Clients</t>
  </si>
  <si>
    <t xml:space="preserve">Made activity driver box vertical. </t>
  </si>
  <si>
    <t xml:space="preserve">Total </t>
  </si>
  <si>
    <t>Client A Rates</t>
  </si>
  <si>
    <t>Client B Rates</t>
  </si>
  <si>
    <t>Total Cost Driver</t>
  </si>
  <si>
    <t>Calculating Total Cost and Cost per Client</t>
  </si>
  <si>
    <t>Client Calulcations</t>
  </si>
  <si>
    <t>Direct Costs</t>
  </si>
  <si>
    <t>Common Overhead</t>
  </si>
  <si>
    <t>Calculating Common Overhead Rates</t>
  </si>
  <si>
    <t>Kea Churchill</t>
  </si>
  <si>
    <t>Provides clarity in display</t>
  </si>
  <si>
    <t>Changed colours of boxes to be more conhesive</t>
  </si>
  <si>
    <t>Total Common Overheead</t>
  </si>
  <si>
    <t xml:space="preserve">Needed for assignment and was initially forgotten, calculates the cost for each client  </t>
  </si>
  <si>
    <t>This made the calculation for total cost per client more accurate as before I used 1 as in one client when I shouldve used the total clients.</t>
  </si>
  <si>
    <t xml:space="preserve">Peer reviews suggested colour change to improve understandability. </t>
  </si>
  <si>
    <t xml:space="preserve">Changed the value in total cost calculation under Support worker costs / Rn costs to be the total SW hours and RN hours. </t>
  </si>
  <si>
    <t xml:space="preserve">makes it so the total cost per client is calculated using all worker hours not just the ones associated with the clients. </t>
  </si>
  <si>
    <t xml:space="preserve">Created client costs / client details under ABC system </t>
  </si>
  <si>
    <t xml:space="preserve">Changed the value of clients when calculating "total cost per client" from 1 to 400 and 600 (non complex and complex). </t>
  </si>
  <si>
    <t xml:space="preserve">Fixed overhead calculation under rent / electricity / sundry </t>
  </si>
  <si>
    <t>Initially referred to the wrong cell and was giving an incorrect calculation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</si>
</sst>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$-409]* #,##0.00_);_([$$-409]* \(#,##0.00\);_([$$-409]* &quot;-&quot;??_);_(@_)"/>
  </numFmts>
  <fonts count="4">
    <font>
      <sz val="12"/>
      <color theme="1"/>
      <name val="Aptos Narrow"/>
      <family val="2"/>
      <scheme val="minor"/>
    </font>
    <font>
      <sz val="20"/>
      <color theme="1"/>
      <name val="Academy Engraved LET Plain:1.0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A1CD92"/>
        <bgColor indexed="64"/>
      </patternFill>
    </fill>
    <fill>
      <patternFill patternType="solid">
        <fgColor rgb="FFF7F1BA"/>
        <bgColor indexed="64"/>
      </patternFill>
    </fill>
    <fill>
      <patternFill patternType="solid">
        <fgColor rgb="FFB4E5A1"/>
        <bgColor indexed="64"/>
      </patternFill>
    </fill>
    <fill>
      <patternFill patternType="solid">
        <fgColor rgb="FFF8F1BA"/>
        <bgColor indexed="64"/>
      </patternFill>
    </fill>
    <fill>
      <patternFill patternType="solid">
        <fgColor rgb="FFB4E6A0"/>
        <bgColor indexed="64"/>
      </patternFill>
    </fill>
    <fill>
      <patternFill patternType="solid">
        <fgColor rgb="FFA1CF94"/>
        <bgColor indexed="64"/>
      </patternFill>
    </fill>
    <fill>
      <patternFill patternType="solid">
        <fgColor rgb="FFDCFFFF"/>
        <bgColor indexed="64"/>
      </patternFill>
    </fill>
    <fill>
      <patternFill patternType="solid">
        <fgColor rgb="FFB5D3D4"/>
        <bgColor indexed="64"/>
      </patternFill>
    </fill>
    <fill>
      <patternFill patternType="solid">
        <fgColor rgb="FFD7D2A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43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/>
      <bottom style="medium">
        <color indexed="64"/>
      </bottom>
      <diagonal/>
    </border>
    <border>
      <left/>
      <right style="medium">
        <color theme="1"/>
      </right>
      <top/>
      <bottom/>
      <diagonal/>
    </border>
    <border>
      <left/>
      <right/>
      <top/>
      <bottom style="double">
        <color theme="1"/>
      </bottom>
      <diagonal/>
    </border>
    <border>
      <left/>
      <right style="medium">
        <color indexed="64"/>
      </right>
      <top/>
      <bottom style="double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medium">
        <color theme="1"/>
      </right>
      <top/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medium">
        <color theme="1"/>
      </right>
      <top/>
      <bottom style="medium">
        <color theme="0"/>
      </bottom>
      <diagonal/>
    </border>
    <border>
      <left style="medium">
        <color theme="1"/>
      </left>
      <right style="medium">
        <color theme="1"/>
      </right>
      <top style="medium">
        <color theme="0"/>
      </top>
      <bottom style="medium">
        <color theme="0"/>
      </bottom>
      <diagonal/>
    </border>
    <border>
      <left style="medium">
        <color theme="1"/>
      </left>
      <right style="medium">
        <color theme="1"/>
      </right>
      <top style="medium">
        <color theme="0"/>
      </top>
      <bottom/>
      <diagonal/>
    </border>
    <border>
      <left style="medium">
        <color theme="1"/>
      </left>
      <right/>
      <top/>
      <bottom style="medium">
        <color theme="0"/>
      </bottom>
      <diagonal/>
    </border>
    <border>
      <left/>
      <right style="medium">
        <color theme="1"/>
      </right>
      <top/>
      <bottom style="medium">
        <color theme="0"/>
      </bottom>
      <diagonal/>
    </border>
    <border>
      <left style="medium">
        <color theme="1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1"/>
      </right>
      <top style="medium">
        <color theme="0"/>
      </top>
      <bottom style="medium">
        <color theme="0"/>
      </bottom>
      <diagonal/>
    </border>
    <border>
      <left style="medium">
        <color theme="1"/>
      </left>
      <right/>
      <top style="medium">
        <color theme="0"/>
      </top>
      <bottom/>
      <diagonal/>
    </border>
    <border>
      <left/>
      <right style="medium">
        <color theme="1"/>
      </right>
      <top style="medium">
        <color theme="0"/>
      </top>
      <bottom/>
      <diagonal/>
    </border>
    <border>
      <left/>
      <right style="medium">
        <color theme="1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1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2" fontId="0" fillId="5" borderId="0" xfId="0" applyNumberFormat="1" applyFill="1"/>
    <xf numFmtId="0" fontId="0" fillId="5" borderId="0" xfId="0" applyFill="1"/>
    <xf numFmtId="0" fontId="2" fillId="3" borderId="1" xfId="0" applyFont="1" applyFill="1" applyBorder="1"/>
    <xf numFmtId="2" fontId="0" fillId="3" borderId="1" xfId="0" applyNumberFormat="1" applyFill="1" applyBorder="1"/>
    <xf numFmtId="2" fontId="0" fillId="3" borderId="4" xfId="0" applyNumberFormat="1" applyFill="1" applyBorder="1"/>
    <xf numFmtId="0" fontId="0" fillId="4" borderId="0" xfId="0" applyFill="1"/>
    <xf numFmtId="0" fontId="0" fillId="4" borderId="1" xfId="0" applyFill="1" applyBorder="1"/>
    <xf numFmtId="0" fontId="0" fillId="6" borderId="8" xfId="0" applyFill="1" applyBorder="1"/>
    <xf numFmtId="0" fontId="0" fillId="6" borderId="9" xfId="0" applyFill="1" applyBorder="1"/>
    <xf numFmtId="0" fontId="0" fillId="7" borderId="6" xfId="0" applyFill="1" applyBorder="1"/>
    <xf numFmtId="0" fontId="2" fillId="7" borderId="8" xfId="0" applyFont="1" applyFill="1" applyBorder="1"/>
    <xf numFmtId="0" fontId="2" fillId="6" borderId="8" xfId="0" applyFont="1" applyFill="1" applyBorder="1"/>
    <xf numFmtId="0" fontId="0" fillId="6" borderId="0" xfId="0" applyFill="1"/>
    <xf numFmtId="0" fontId="0" fillId="6" borderId="1" xfId="0" applyFill="1" applyBorder="1"/>
    <xf numFmtId="0" fontId="2" fillId="6" borderId="9" xfId="0" applyFont="1" applyFill="1" applyBorder="1"/>
    <xf numFmtId="0" fontId="0" fillId="6" borderId="2" xfId="0" applyFill="1" applyBorder="1"/>
    <xf numFmtId="0" fontId="0" fillId="6" borderId="10" xfId="0" applyFill="1" applyBorder="1"/>
    <xf numFmtId="0" fontId="2" fillId="7" borderId="0" xfId="0" applyFont="1" applyFill="1"/>
    <xf numFmtId="0" fontId="0" fillId="7" borderId="5" xfId="0" applyFill="1" applyBorder="1"/>
    <xf numFmtId="0" fontId="3" fillId="6" borderId="0" xfId="0" applyFont="1" applyFill="1"/>
    <xf numFmtId="0" fontId="3" fillId="6" borderId="1" xfId="0" applyFont="1" applyFill="1" applyBorder="1"/>
    <xf numFmtId="0" fontId="3" fillId="6" borderId="2" xfId="0" applyFont="1" applyFill="1" applyBorder="1"/>
    <xf numFmtId="0" fontId="3" fillId="6" borderId="10" xfId="0" applyFont="1" applyFill="1" applyBorder="1"/>
    <xf numFmtId="0" fontId="0" fillId="4" borderId="2" xfId="0" applyFill="1" applyBorder="1"/>
    <xf numFmtId="0" fontId="0" fillId="4" borderId="10" xfId="0" applyFill="1" applyBorder="1"/>
    <xf numFmtId="0" fontId="0" fillId="8" borderId="0" xfId="0" applyFill="1"/>
    <xf numFmtId="2" fontId="0" fillId="8" borderId="0" xfId="0" applyNumberFormat="1" applyFill="1"/>
    <xf numFmtId="0" fontId="2" fillId="9" borderId="0" xfId="0" applyFont="1" applyFill="1"/>
    <xf numFmtId="0" fontId="0" fillId="8" borderId="8" xfId="0" applyFill="1" applyBorder="1"/>
    <xf numFmtId="0" fontId="0" fillId="8" borderId="1" xfId="0" applyFill="1" applyBorder="1"/>
    <xf numFmtId="0" fontId="2" fillId="8" borderId="8" xfId="0" applyFont="1" applyFill="1" applyBorder="1"/>
    <xf numFmtId="2" fontId="0" fillId="8" borderId="1" xfId="0" applyNumberFormat="1" applyFill="1" applyBorder="1"/>
    <xf numFmtId="0" fontId="0" fillId="8" borderId="9" xfId="0" applyFill="1" applyBorder="1"/>
    <xf numFmtId="2" fontId="0" fillId="8" borderId="2" xfId="0" applyNumberFormat="1" applyFill="1" applyBorder="1"/>
    <xf numFmtId="2" fontId="0" fillId="8" borderId="10" xfId="0" applyNumberFormat="1" applyFill="1" applyBorder="1"/>
    <xf numFmtId="0" fontId="2" fillId="0" borderId="6" xfId="0" applyFont="1" applyBorder="1"/>
    <xf numFmtId="0" fontId="0" fillId="0" borderId="5" xfId="0" applyBorder="1"/>
    <xf numFmtId="0" fontId="2" fillId="0" borderId="2" xfId="0" applyFont="1" applyBorder="1"/>
    <xf numFmtId="0" fontId="2" fillId="8" borderId="9" xfId="0" applyFont="1" applyFill="1" applyBorder="1"/>
    <xf numFmtId="0" fontId="0" fillId="8" borderId="2" xfId="0" applyFill="1" applyBorder="1"/>
    <xf numFmtId="0" fontId="0" fillId="10" borderId="5" xfId="0" applyFill="1" applyBorder="1"/>
    <xf numFmtId="0" fontId="2" fillId="10" borderId="0" xfId="0" applyFont="1" applyFill="1"/>
    <xf numFmtId="0" fontId="0" fillId="8" borderId="3" xfId="0" applyFill="1" applyBorder="1"/>
    <xf numFmtId="0" fontId="0" fillId="8" borderId="12" xfId="0" applyFill="1" applyBorder="1"/>
    <xf numFmtId="0" fontId="2" fillId="8" borderId="12" xfId="0" applyFont="1" applyFill="1" applyBorder="1"/>
    <xf numFmtId="0" fontId="0" fillId="9" borderId="11" xfId="0" applyFill="1" applyBorder="1"/>
    <xf numFmtId="0" fontId="2" fillId="9" borderId="8" xfId="0" applyFont="1" applyFill="1" applyBorder="1"/>
    <xf numFmtId="0" fontId="0" fillId="9" borderId="5" xfId="0" applyFill="1" applyBorder="1"/>
    <xf numFmtId="0" fontId="0" fillId="9" borderId="7" xfId="0" applyFill="1" applyBorder="1"/>
    <xf numFmtId="0" fontId="2" fillId="9" borderId="1" xfId="0" applyFont="1" applyFill="1" applyBorder="1"/>
    <xf numFmtId="0" fontId="2" fillId="6" borderId="10" xfId="0" applyFont="1" applyFill="1" applyBorder="1"/>
    <xf numFmtId="0" fontId="2" fillId="10" borderId="15" xfId="0" applyFont="1" applyFill="1" applyBorder="1"/>
    <xf numFmtId="0" fontId="2" fillId="9" borderId="19" xfId="0" applyFont="1" applyFill="1" applyBorder="1"/>
    <xf numFmtId="0" fontId="2" fillId="9" borderId="14" xfId="0" applyFont="1" applyFill="1" applyBorder="1"/>
    <xf numFmtId="0" fontId="2" fillId="9" borderId="20" xfId="0" applyFont="1" applyFill="1" applyBorder="1"/>
    <xf numFmtId="0" fontId="2" fillId="9" borderId="15" xfId="0" applyFont="1" applyFill="1" applyBorder="1"/>
    <xf numFmtId="0" fontId="2" fillId="9" borderId="17" xfId="0" applyFont="1" applyFill="1" applyBorder="1"/>
    <xf numFmtId="0" fontId="2" fillId="9" borderId="18" xfId="0" applyFont="1" applyFill="1" applyBorder="1"/>
    <xf numFmtId="0" fontId="0" fillId="9" borderId="16" xfId="0" applyFill="1" applyBorder="1"/>
    <xf numFmtId="0" fontId="3" fillId="7" borderId="19" xfId="0" applyFont="1" applyFill="1" applyBorder="1"/>
    <xf numFmtId="0" fontId="2" fillId="7" borderId="14" xfId="0" applyFont="1" applyFill="1" applyBorder="1"/>
    <xf numFmtId="0" fontId="2" fillId="7" borderId="20" xfId="0" applyFont="1" applyFill="1" applyBorder="1"/>
    <xf numFmtId="0" fontId="0" fillId="7" borderId="19" xfId="0" applyFill="1" applyBorder="1"/>
    <xf numFmtId="0" fontId="2" fillId="7" borderId="19" xfId="0" applyFont="1" applyFill="1" applyBorder="1"/>
    <xf numFmtId="0" fontId="2" fillId="2" borderId="16" xfId="0" applyFont="1" applyFill="1" applyBorder="1"/>
    <xf numFmtId="0" fontId="2" fillId="2" borderId="18" xfId="0" applyFont="1" applyFill="1" applyBorder="1"/>
    <xf numFmtId="0" fontId="2" fillId="9" borderId="16" xfId="0" applyFont="1" applyFill="1" applyBorder="1"/>
    <xf numFmtId="0" fontId="0" fillId="8" borderId="21" xfId="0" applyFill="1" applyBorder="1"/>
    <xf numFmtId="2" fontId="0" fillId="8" borderId="22" xfId="0" applyNumberFormat="1" applyFill="1" applyBorder="1"/>
    <xf numFmtId="2" fontId="0" fillId="8" borderId="23" xfId="0" applyNumberFormat="1" applyFill="1" applyBorder="1"/>
    <xf numFmtId="2" fontId="0" fillId="8" borderId="24" xfId="0" applyNumberFormat="1" applyFill="1" applyBorder="1"/>
    <xf numFmtId="164" fontId="2" fillId="8" borderId="3" xfId="0" applyNumberFormat="1" applyFont="1" applyFill="1" applyBorder="1"/>
    <xf numFmtId="164" fontId="2" fillId="8" borderId="4" xfId="0" applyNumberFormat="1" applyFont="1" applyFill="1" applyBorder="1"/>
    <xf numFmtId="0" fontId="3" fillId="8" borderId="8" xfId="0" applyFont="1" applyFill="1" applyBorder="1"/>
    <xf numFmtId="164" fontId="2" fillId="8" borderId="2" xfId="0" applyNumberFormat="1" applyFont="1" applyFill="1" applyBorder="1"/>
    <xf numFmtId="164" fontId="2" fillId="8" borderId="10" xfId="0" applyNumberFormat="1" applyFont="1" applyFill="1" applyBorder="1"/>
    <xf numFmtId="164" fontId="0" fillId="5" borderId="3" xfId="0" applyNumberFormat="1" applyFill="1" applyBorder="1"/>
    <xf numFmtId="0" fontId="2" fillId="6" borderId="2" xfId="0" applyFont="1" applyFill="1" applyBorder="1"/>
    <xf numFmtId="0" fontId="2" fillId="8" borderId="13" xfId="0" applyFont="1" applyFill="1" applyBorder="1"/>
    <xf numFmtId="0" fontId="2" fillId="8" borderId="2" xfId="0" applyFont="1" applyFill="1" applyBorder="1"/>
    <xf numFmtId="2" fontId="2" fillId="8" borderId="2" xfId="0" applyNumberFormat="1" applyFont="1" applyFill="1" applyBorder="1"/>
    <xf numFmtId="0" fontId="2" fillId="8" borderId="10" xfId="0" applyFont="1" applyFill="1" applyBorder="1"/>
    <xf numFmtId="0" fontId="2" fillId="11" borderId="11" xfId="0" applyFont="1" applyFill="1" applyBorder="1"/>
    <xf numFmtId="16" fontId="0" fillId="12" borderId="25" xfId="0" applyNumberFormat="1" applyFill="1" applyBorder="1"/>
    <xf numFmtId="16" fontId="0" fillId="12" borderId="27" xfId="0" applyNumberFormat="1" applyFill="1" applyBorder="1"/>
    <xf numFmtId="0" fontId="0" fillId="12" borderId="27" xfId="0" applyFill="1" applyBorder="1"/>
    <xf numFmtId="0" fontId="0" fillId="12" borderId="26" xfId="0" applyFill="1" applyBorder="1"/>
    <xf numFmtId="0" fontId="0" fillId="12" borderId="34" xfId="0" applyFill="1" applyBorder="1"/>
    <xf numFmtId="0" fontId="0" fillId="12" borderId="35" xfId="0" applyFill="1" applyBorder="1"/>
    <xf numFmtId="164" fontId="0" fillId="8" borderId="3" xfId="0" applyNumberFormat="1" applyFill="1" applyBorder="1"/>
    <xf numFmtId="0" fontId="0" fillId="0" borderId="30" xfId="0" applyBorder="1"/>
    <xf numFmtId="164" fontId="0" fillId="8" borderId="42" xfId="0" applyNumberFormat="1" applyFill="1" applyBorder="1"/>
    <xf numFmtId="0" fontId="0" fillId="0" borderId="0" xfId="0"/>
    <xf numFmtId="0" fontId="0" fillId="12" borderId="40" xfId="0" applyFill="1" applyBorder="1" applyAlignment="1">
      <alignment horizontal="left" vertical="top" wrapText="1"/>
    </xf>
    <xf numFmtId="0" fontId="0" fillId="12" borderId="41" xfId="0" applyFill="1" applyBorder="1" applyAlignment="1">
      <alignment horizontal="left" vertical="top" wrapText="1"/>
    </xf>
    <xf numFmtId="0" fontId="0" fillId="12" borderId="36" xfId="0" applyFill="1" applyBorder="1" applyAlignment="1">
      <alignment horizontal="left" vertical="top" wrapText="1"/>
    </xf>
    <xf numFmtId="0" fontId="0" fillId="12" borderId="37" xfId="0" applyFill="1" applyBorder="1" applyAlignment="1">
      <alignment horizontal="left" vertical="top" wrapText="1"/>
    </xf>
    <xf numFmtId="0" fontId="0" fillId="12" borderId="30" xfId="0" applyFill="1" applyBorder="1" applyAlignment="1">
      <alignment horizontal="left" vertical="top" wrapText="1"/>
    </xf>
    <xf numFmtId="0" fontId="0" fillId="12" borderId="22" xfId="0" applyFill="1" applyBorder="1" applyAlignment="1">
      <alignment horizontal="left" vertical="top" wrapText="1"/>
    </xf>
    <xf numFmtId="0" fontId="0" fillId="12" borderId="40" xfId="0" applyFill="1" applyBorder="1"/>
    <xf numFmtId="0" fontId="0" fillId="12" borderId="41" xfId="0" applyFill="1" applyBorder="1"/>
    <xf numFmtId="0" fontId="0" fillId="12" borderId="31" xfId="0" applyFill="1" applyBorder="1"/>
    <xf numFmtId="0" fontId="0" fillId="12" borderId="32" xfId="0" applyFill="1" applyBorder="1"/>
    <xf numFmtId="0" fontId="2" fillId="11" borderId="5" xfId="0" applyFont="1" applyFill="1" applyBorder="1" applyAlignment="1">
      <alignment horizontal="center"/>
    </xf>
    <xf numFmtId="0" fontId="2" fillId="11" borderId="7" xfId="0" applyFont="1" applyFill="1" applyBorder="1" applyAlignment="1">
      <alignment horizontal="center"/>
    </xf>
    <xf numFmtId="0" fontId="0" fillId="12" borderId="27" xfId="0" applyFill="1" applyBorder="1" applyAlignment="1">
      <alignment horizontal="center" vertical="top" wrapText="1"/>
    </xf>
    <xf numFmtId="0" fontId="0" fillId="12" borderId="35" xfId="0" applyFill="1" applyBorder="1" applyAlignment="1">
      <alignment horizontal="left" vertical="top"/>
    </xf>
    <xf numFmtId="0" fontId="0" fillId="12" borderId="33" xfId="0" applyFill="1" applyBorder="1" applyAlignment="1">
      <alignment horizontal="left" vertical="top"/>
    </xf>
    <xf numFmtId="0" fontId="0" fillId="12" borderId="35" xfId="0" applyFill="1" applyBorder="1" applyAlignment="1">
      <alignment horizontal="left" vertical="top" wrapText="1"/>
    </xf>
    <xf numFmtId="0" fontId="0" fillId="12" borderId="27" xfId="0" applyFill="1" applyBorder="1" applyAlignment="1">
      <alignment horizontal="left" vertical="top" wrapText="1"/>
    </xf>
    <xf numFmtId="0" fontId="0" fillId="12" borderId="33" xfId="0" applyFill="1" applyBorder="1" applyAlignment="1">
      <alignment horizontal="left" vertical="top" wrapText="1"/>
    </xf>
    <xf numFmtId="0" fontId="0" fillId="12" borderId="25" xfId="0" applyFill="1" applyBorder="1" applyAlignment="1">
      <alignment horizontal="center" vertical="top"/>
    </xf>
    <xf numFmtId="0" fontId="0" fillId="12" borderId="33" xfId="0" applyFill="1" applyBorder="1" applyAlignment="1">
      <alignment horizontal="center" vertical="top"/>
    </xf>
    <xf numFmtId="0" fontId="0" fillId="12" borderId="28" xfId="0" applyFill="1" applyBorder="1" applyAlignment="1">
      <alignment horizontal="left" vertical="top"/>
    </xf>
    <xf numFmtId="0" fontId="0" fillId="12" borderId="29" xfId="0" applyFill="1" applyBorder="1" applyAlignment="1">
      <alignment horizontal="left" vertical="top"/>
    </xf>
    <xf numFmtId="0" fontId="0" fillId="12" borderId="36" xfId="0" applyFill="1" applyBorder="1" applyAlignment="1">
      <alignment horizontal="left" vertical="top"/>
    </xf>
    <xf numFmtId="0" fontId="0" fillId="12" borderId="37" xfId="0" applyFill="1" applyBorder="1" applyAlignment="1">
      <alignment horizontal="left" vertical="top"/>
    </xf>
    <xf numFmtId="0" fontId="0" fillId="12" borderId="38" xfId="0" applyFill="1" applyBorder="1"/>
    <xf numFmtId="0" fontId="0" fillId="12" borderId="39" xfId="0" applyFill="1" applyBorder="1"/>
    <xf numFmtId="0" fontId="0" fillId="12" borderId="0" xfId="0" applyFill="1"/>
    <xf numFmtId="0" fontId="0" fillId="12" borderId="22" xfId="0" applyFill="1" applyBorder="1"/>
    <xf numFmtId="0" fontId="2" fillId="9" borderId="19" xfId="0" applyFont="1" applyFill="1" applyBorder="1" applyAlignment="1">
      <alignment horizontal="center"/>
    </xf>
    <xf numFmtId="0" fontId="2" fillId="9" borderId="20" xfId="0" applyFont="1" applyFill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9" borderId="16" xfId="0" applyFont="1" applyFill="1" applyBorder="1" applyAlignment="1">
      <alignment horizontal="center"/>
    </xf>
    <xf numFmtId="0" fontId="2" fillId="9" borderId="18" xfId="0" applyFont="1" applyFill="1" applyBorder="1" applyAlignment="1">
      <alignment horizontal="center"/>
    </xf>
    <xf numFmtId="0" fontId="2" fillId="9" borderId="1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CFFFF"/>
      <color rgb="FFC1E5F5"/>
      <color rgb="FFE2FFF1"/>
      <color rgb="FFFFFAC4"/>
      <color rgb="FFB4917F"/>
      <color rgb="FFFFC9DC"/>
      <color rgb="FFFFC3D4"/>
      <color rgb="FFB4E6A0"/>
      <color rgb="FFA1CF94"/>
      <color rgb="FFB5D3D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25400</xdr:colOff>
      <xdr:row>3</xdr:row>
      <xdr:rowOff>25400</xdr:rowOff>
    </xdr:from>
    <xdr:to>
      <xdr:col>2</xdr:col>
      <xdr:colOff>203200</xdr:colOff>
      <xdr:row>7</xdr:row>
      <xdr:rowOff>165100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B0ACF08-0252-F09A-3270-641550A9615B}"/>
            </a:ext>
          </a:extLst>
        </xdr:cNvPr>
        <xdr:cNvSpPr txBox="1"/>
      </xdr:nvSpPr>
      <xdr:spPr>
        <a:xfrm>
          <a:off x="1092200" y="825500"/>
          <a:ext cx="4533900" cy="952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The purpose</a:t>
          </a:r>
          <a:r>
            <a:rPr lang="en-GB" sz="1100" baseline="0"/>
            <a:t> of this spreadsheet is to determine the total cost of providing services to complex and non-complex clients at Wellbeing Home Healthcare using an activity based costing analysis. </a:t>
          </a:r>
        </a:p>
        <a:p>
          <a:endParaRPr lang="en-GB" sz="1100" baseline="0"/>
        </a:p>
        <a:p>
          <a:endParaRPr lang="en-GB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EFE56-8031-EB40-A33B-274E36380B91}">
  <dimension ref="A1:D31"/>
  <sheetViews>
    <sheetView workbookViewId="0">
      <selection activeCell="A6" sqref="A6"/>
    </sheetView>
  </sheetViews>
  <sheetFormatPr baseColWidth="10" defaultRowHeight="16"/>
  <cols>
    <col min="1" max="1" width="14" customWidth="1"/>
    <col min="2" max="2" width="57.1640625" customWidth="1"/>
    <col min="4" max="4" width="61.33203125" customWidth="1"/>
  </cols>
  <sheetData>
    <row r="1" spans="1:4" ht="31">
      <c r="B1" s="1" t="s">
        <v>51</v>
      </c>
    </row>
    <row r="2" spans="1:4">
      <c r="A2" s="2" t="s">
        <v>0</v>
      </c>
      <c r="B2" t="s">
        <v>87</v>
      </c>
    </row>
    <row r="3" spans="1:4">
      <c r="A3" s="2" t="s">
        <v>1</v>
      </c>
      <c r="B3">
        <v>1</v>
      </c>
    </row>
    <row r="4" spans="1:4">
      <c r="A4" s="2" t="s">
        <v>2</v>
      </c>
    </row>
    <row r="10" spans="1:4" ht="17" thickBot="1">
      <c r="A10" s="2" t="s">
        <v>52</v>
      </c>
    </row>
    <row r="11" spans="1:4" ht="17" thickBot="1">
      <c r="A11" s="86" t="s">
        <v>53</v>
      </c>
      <c r="B11" s="86" t="s">
        <v>55</v>
      </c>
      <c r="C11" s="107" t="s">
        <v>54</v>
      </c>
      <c r="D11" s="108"/>
    </row>
    <row r="12" spans="1:4">
      <c r="A12" s="87">
        <v>45782</v>
      </c>
      <c r="B12" s="115" t="s">
        <v>59</v>
      </c>
      <c r="C12" s="117" t="s">
        <v>60</v>
      </c>
      <c r="D12" s="118"/>
    </row>
    <row r="13" spans="1:4" ht="17" thickBot="1">
      <c r="A13" s="88"/>
      <c r="B13" s="116"/>
      <c r="C13" s="119"/>
      <c r="D13" s="120"/>
    </row>
    <row r="14" spans="1:4" ht="17" thickBot="1">
      <c r="A14" s="88">
        <v>45782</v>
      </c>
      <c r="B14" s="91" t="s">
        <v>77</v>
      </c>
      <c r="C14" s="121" t="s">
        <v>88</v>
      </c>
      <c r="D14" s="122"/>
    </row>
    <row r="15" spans="1:4" ht="17" thickBot="1">
      <c r="A15" s="88">
        <v>45782</v>
      </c>
      <c r="B15" s="91" t="s">
        <v>96</v>
      </c>
      <c r="C15" s="121" t="s">
        <v>91</v>
      </c>
      <c r="D15" s="122"/>
    </row>
    <row r="16" spans="1:4">
      <c r="A16" s="88">
        <v>45783</v>
      </c>
      <c r="B16" s="112" t="s">
        <v>97</v>
      </c>
      <c r="C16" s="97" t="s">
        <v>92</v>
      </c>
      <c r="D16" s="98"/>
    </row>
    <row r="17" spans="1:4" ht="16" customHeight="1">
      <c r="A17" s="89"/>
      <c r="B17" s="113"/>
      <c r="C17" s="101"/>
      <c r="D17" s="102"/>
    </row>
    <row r="18" spans="1:4" ht="17" thickBot="1">
      <c r="A18" s="89"/>
      <c r="B18" s="114"/>
      <c r="C18" s="99"/>
      <c r="D18" s="100"/>
    </row>
    <row r="19" spans="1:4">
      <c r="A19" s="88">
        <v>45791</v>
      </c>
      <c r="B19" s="110" t="s">
        <v>89</v>
      </c>
      <c r="C19" s="97" t="s">
        <v>93</v>
      </c>
      <c r="D19" s="98"/>
    </row>
    <row r="20" spans="1:4" ht="17" thickBot="1">
      <c r="A20" s="88"/>
      <c r="B20" s="111"/>
      <c r="C20" s="99"/>
      <c r="D20" s="100"/>
    </row>
    <row r="21" spans="1:4">
      <c r="A21" s="88">
        <v>45796</v>
      </c>
      <c r="B21" s="109" t="s">
        <v>94</v>
      </c>
      <c r="C21" s="123" t="s">
        <v>95</v>
      </c>
      <c r="D21" s="124"/>
    </row>
    <row r="22" spans="1:4">
      <c r="A22" s="89"/>
      <c r="B22" s="109"/>
      <c r="C22" s="123"/>
      <c r="D22" s="124"/>
    </row>
    <row r="23" spans="1:4" ht="17" thickBot="1">
      <c r="A23" s="89"/>
      <c r="B23" s="109"/>
      <c r="C23" s="123"/>
      <c r="D23" s="124"/>
    </row>
    <row r="24" spans="1:4">
      <c r="A24" s="88">
        <v>45796</v>
      </c>
      <c r="B24" s="92" t="s">
        <v>98</v>
      </c>
      <c r="C24" s="103" t="s">
        <v>99</v>
      </c>
      <c r="D24" s="104"/>
    </row>
    <row r="25" spans="1:4" ht="17" thickBot="1">
      <c r="A25" s="90"/>
      <c r="B25" s="90"/>
      <c r="C25" s="105"/>
      <c r="D25" s="106"/>
    </row>
    <row r="26" spans="1:4">
      <c r="C26" s="96"/>
      <c r="D26" s="96"/>
    </row>
    <row r="27" spans="1:4">
      <c r="C27" s="96"/>
      <c r="D27" s="96"/>
    </row>
    <row r="28" spans="1:4">
      <c r="C28" s="96"/>
      <c r="D28" s="96"/>
    </row>
    <row r="29" spans="1:4">
      <c r="C29" s="96"/>
      <c r="D29" s="96"/>
    </row>
    <row r="30" spans="1:4">
      <c r="C30" s="96"/>
      <c r="D30" s="96"/>
    </row>
    <row r="31" spans="1:4">
      <c r="C31" s="96"/>
      <c r="D31" s="96"/>
    </row>
  </sheetData>
  <mergeCells count="22">
    <mergeCell ref="C11:D11"/>
    <mergeCell ref="B21:B23"/>
    <mergeCell ref="B19:B20"/>
    <mergeCell ref="B16:B18"/>
    <mergeCell ref="B12:B13"/>
    <mergeCell ref="C12:D12"/>
    <mergeCell ref="C13:D13"/>
    <mergeCell ref="C14:D14"/>
    <mergeCell ref="C15:D15"/>
    <mergeCell ref="C21:D21"/>
    <mergeCell ref="C22:D22"/>
    <mergeCell ref="C23:D23"/>
    <mergeCell ref="C30:D30"/>
    <mergeCell ref="C31:D31"/>
    <mergeCell ref="C19:D20"/>
    <mergeCell ref="C16:D18"/>
    <mergeCell ref="C24:D24"/>
    <mergeCell ref="C25:D25"/>
    <mergeCell ref="C26:D26"/>
    <mergeCell ref="C27:D27"/>
    <mergeCell ref="C28:D28"/>
    <mergeCell ref="C29:D2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A87D3-F2AC-A44B-8204-AF9E45E76429}">
  <dimension ref="A2:M80"/>
  <sheetViews>
    <sheetView tabSelected="1" zoomScaleNormal="142" workbookViewId="0">
      <selection activeCell="C12" sqref="C12"/>
    </sheetView>
  </sheetViews>
  <sheetFormatPr baseColWidth="10" defaultRowHeight="16"/>
  <cols>
    <col min="1" max="1" width="21.33203125" customWidth="1"/>
    <col min="2" max="2" width="17.6640625" customWidth="1"/>
    <col min="3" max="3" width="21.5" customWidth="1"/>
    <col min="4" max="4" width="25.33203125" customWidth="1"/>
    <col min="5" max="5" width="20" customWidth="1"/>
    <col min="6" max="6" width="21.33203125" customWidth="1"/>
    <col min="7" max="7" width="30.6640625" customWidth="1"/>
    <col min="8" max="8" width="21.83203125" customWidth="1"/>
    <col min="10" max="10" width="12.83203125" customWidth="1"/>
    <col min="11" max="11" width="12.33203125" customWidth="1"/>
    <col min="12" max="12" width="11.5" customWidth="1"/>
  </cols>
  <sheetData>
    <row r="2" spans="1:13" ht="17" thickBot="1">
      <c r="A2" s="2" t="s">
        <v>22</v>
      </c>
      <c r="D2" s="2" t="s">
        <v>74</v>
      </c>
      <c r="E2" s="2"/>
      <c r="F2" s="2"/>
      <c r="G2" s="2"/>
    </row>
    <row r="3" spans="1:13" ht="17" thickBot="1">
      <c r="A3" s="68" t="s">
        <v>33</v>
      </c>
      <c r="B3" s="69" t="s">
        <v>41</v>
      </c>
      <c r="C3" s="2"/>
      <c r="D3" s="67"/>
      <c r="E3" s="64" t="s">
        <v>25</v>
      </c>
      <c r="F3" s="64" t="s">
        <v>20</v>
      </c>
      <c r="G3" s="65" t="s">
        <v>10</v>
      </c>
    </row>
    <row r="4" spans="1:13">
      <c r="A4" s="11" t="s">
        <v>4</v>
      </c>
      <c r="B4" s="17">
        <v>10</v>
      </c>
      <c r="D4" s="15" t="s">
        <v>15</v>
      </c>
      <c r="E4" s="9">
        <v>20800</v>
      </c>
      <c r="F4" s="9">
        <v>156000</v>
      </c>
      <c r="G4" s="10">
        <f t="shared" ref="G4:G9" si="0">SUM(E4:F4)</f>
        <v>176800</v>
      </c>
    </row>
    <row r="5" spans="1:13">
      <c r="A5" s="11" t="s">
        <v>9</v>
      </c>
      <c r="B5" s="17">
        <v>60</v>
      </c>
      <c r="D5" s="15" t="s">
        <v>75</v>
      </c>
      <c r="E5" s="9">
        <v>400</v>
      </c>
      <c r="F5" s="9">
        <v>2400</v>
      </c>
      <c r="G5" s="10">
        <f t="shared" si="0"/>
        <v>2800</v>
      </c>
    </row>
    <row r="6" spans="1:13">
      <c r="A6" s="11" t="s">
        <v>6</v>
      </c>
      <c r="B6" s="17">
        <v>130</v>
      </c>
      <c r="D6" s="15" t="s">
        <v>76</v>
      </c>
      <c r="E6" s="9">
        <v>400</v>
      </c>
      <c r="F6" s="9">
        <v>600</v>
      </c>
      <c r="G6" s="10">
        <f t="shared" si="0"/>
        <v>1000</v>
      </c>
      <c r="J6" s="2"/>
      <c r="K6" s="2"/>
      <c r="L6" s="2"/>
      <c r="M6" s="2"/>
    </row>
    <row r="7" spans="1:13">
      <c r="A7" s="11" t="s">
        <v>5</v>
      </c>
      <c r="B7" s="17">
        <v>40</v>
      </c>
      <c r="D7" s="15" t="s">
        <v>16</v>
      </c>
      <c r="E7" s="9">
        <v>41600</v>
      </c>
      <c r="F7" s="9">
        <v>156000</v>
      </c>
      <c r="G7" s="10">
        <f t="shared" si="0"/>
        <v>197600</v>
      </c>
      <c r="J7" s="2"/>
    </row>
    <row r="8" spans="1:13">
      <c r="A8" s="11" t="s">
        <v>7</v>
      </c>
      <c r="B8" s="17">
        <v>150</v>
      </c>
      <c r="D8" s="15" t="s">
        <v>17</v>
      </c>
      <c r="E8" s="9">
        <v>0</v>
      </c>
      <c r="F8" s="9">
        <v>31200</v>
      </c>
      <c r="G8" s="10">
        <f t="shared" si="0"/>
        <v>31200</v>
      </c>
      <c r="J8" s="2"/>
    </row>
    <row r="9" spans="1:13" ht="17" thickBot="1">
      <c r="A9" s="18" t="s">
        <v>10</v>
      </c>
      <c r="B9" s="54">
        <f>SUM(B4:B8)</f>
        <v>390</v>
      </c>
      <c r="C9" s="3"/>
      <c r="D9" s="18" t="s">
        <v>69</v>
      </c>
      <c r="E9" s="27">
        <f>E7+E8</f>
        <v>41600</v>
      </c>
      <c r="F9" s="27">
        <f>F7+F8</f>
        <v>187200</v>
      </c>
      <c r="G9" s="28">
        <f t="shared" si="0"/>
        <v>228800</v>
      </c>
      <c r="J9" s="2"/>
    </row>
    <row r="10" spans="1:13">
      <c r="A10" s="39"/>
      <c r="B10" s="40"/>
      <c r="D10" s="2"/>
      <c r="J10" s="2"/>
    </row>
    <row r="11" spans="1:13">
      <c r="J11" s="2"/>
    </row>
    <row r="12" spans="1:13" ht="17" thickBot="1">
      <c r="A12" s="2" t="s">
        <v>86</v>
      </c>
      <c r="J12" s="2"/>
    </row>
    <row r="13" spans="1:13" ht="17" thickBot="1">
      <c r="A13" s="70" t="s">
        <v>12</v>
      </c>
      <c r="B13" s="56" t="s">
        <v>11</v>
      </c>
      <c r="C13" s="57" t="s">
        <v>34</v>
      </c>
      <c r="D13" s="57" t="s">
        <v>35</v>
      </c>
      <c r="E13" s="58" t="s">
        <v>36</v>
      </c>
    </row>
    <row r="14" spans="1:13">
      <c r="A14" s="32" t="s">
        <v>38</v>
      </c>
      <c r="B14" s="29">
        <v>280000</v>
      </c>
      <c r="C14" s="29" t="s">
        <v>41</v>
      </c>
      <c r="D14" s="29">
        <f>B9</f>
        <v>390</v>
      </c>
      <c r="E14" s="35">
        <f xml:space="preserve"> B14/D14</f>
        <v>717.9487179487179</v>
      </c>
    </row>
    <row r="15" spans="1:13">
      <c r="A15" s="32" t="s">
        <v>39</v>
      </c>
      <c r="B15" s="29">
        <v>15000</v>
      </c>
      <c r="C15" s="29" t="s">
        <v>41</v>
      </c>
      <c r="D15" s="29">
        <f>B9</f>
        <v>390</v>
      </c>
      <c r="E15" s="35">
        <f xml:space="preserve"> B15/D15</f>
        <v>38.46153846153846</v>
      </c>
    </row>
    <row r="16" spans="1:13" ht="17" thickBot="1">
      <c r="A16" s="32" t="s">
        <v>40</v>
      </c>
      <c r="B16" s="29">
        <v>120000</v>
      </c>
      <c r="C16" s="43" t="s">
        <v>41</v>
      </c>
      <c r="D16" s="43">
        <f>B9</f>
        <v>390</v>
      </c>
      <c r="E16" s="38">
        <f xml:space="preserve"> B16/D16</f>
        <v>307.69230769230768</v>
      </c>
    </row>
    <row r="17" spans="1:8" ht="17" thickBot="1">
      <c r="A17" s="36" t="s">
        <v>10</v>
      </c>
      <c r="B17" s="46">
        <f>SUM(B14:B16)</f>
        <v>415000</v>
      </c>
      <c r="C17" s="43"/>
      <c r="D17" s="43">
        <f>B9</f>
        <v>390</v>
      </c>
      <c r="E17" s="38">
        <f>SUM(E14:E16)</f>
        <v>1064.102564102564</v>
      </c>
    </row>
    <row r="20" spans="1:8" ht="17" thickBot="1">
      <c r="A20" s="2" t="s">
        <v>45</v>
      </c>
    </row>
    <row r="21" spans="1:8" ht="17" thickBot="1">
      <c r="A21" s="49"/>
      <c r="B21" s="128" t="s">
        <v>84</v>
      </c>
      <c r="C21" s="129"/>
      <c r="D21" s="128" t="s">
        <v>85</v>
      </c>
      <c r="E21" s="130"/>
      <c r="F21" s="130"/>
      <c r="G21" s="129"/>
      <c r="H21" s="55" t="s">
        <v>42</v>
      </c>
    </row>
    <row r="22" spans="1:8">
      <c r="A22" s="50" t="s">
        <v>3</v>
      </c>
      <c r="B22" s="31" t="s">
        <v>37</v>
      </c>
      <c r="C22" s="31" t="s">
        <v>4</v>
      </c>
      <c r="D22" s="31" t="s">
        <v>38</v>
      </c>
      <c r="E22" s="31" t="s">
        <v>39</v>
      </c>
      <c r="F22" s="31" t="s">
        <v>40</v>
      </c>
      <c r="G22" s="31" t="s">
        <v>90</v>
      </c>
      <c r="H22" s="6" t="s">
        <v>10</v>
      </c>
    </row>
    <row r="23" spans="1:8">
      <c r="A23" s="32" t="s">
        <v>4</v>
      </c>
      <c r="B23" s="29">
        <v>70000</v>
      </c>
      <c r="C23" s="29">
        <v>1300000</v>
      </c>
      <c r="D23" s="30">
        <f>$E$14*B4</f>
        <v>7179.4871794871788</v>
      </c>
      <c r="E23" s="30">
        <f>$E$15*B4</f>
        <v>384.61538461538458</v>
      </c>
      <c r="F23" s="30">
        <f>$E$16*B4</f>
        <v>3076.9230769230767</v>
      </c>
      <c r="G23" s="30">
        <f>SUM(D23:F23)</f>
        <v>10641.025641025641</v>
      </c>
      <c r="H23" s="7">
        <f>SUM(B23:F23)</f>
        <v>1380641.0256410257</v>
      </c>
    </row>
    <row r="24" spans="1:8">
      <c r="A24" s="32" t="s">
        <v>9</v>
      </c>
      <c r="B24" s="29">
        <v>430000</v>
      </c>
      <c r="C24" s="29">
        <v>0</v>
      </c>
      <c r="D24" s="30">
        <f>$E$14*B5</f>
        <v>43076.923076923071</v>
      </c>
      <c r="E24" s="30">
        <f>$E$15*B5</f>
        <v>2307.6923076923076</v>
      </c>
      <c r="F24" s="30">
        <f>$E$16*B5</f>
        <v>18461.538461538461</v>
      </c>
      <c r="G24" s="30">
        <f t="shared" ref="G24:G26" si="1">SUM(D24:F24)</f>
        <v>63846.153846153837</v>
      </c>
      <c r="H24" s="7">
        <f t="shared" ref="H24:H26" si="2">SUM(B24:F24)</f>
        <v>493846.15384615381</v>
      </c>
    </row>
    <row r="25" spans="1:8">
      <c r="A25" s="32" t="s">
        <v>6</v>
      </c>
      <c r="B25" s="29">
        <v>380000</v>
      </c>
      <c r="C25" s="29">
        <v>0</v>
      </c>
      <c r="D25" s="30">
        <f>$E$14*B6</f>
        <v>93333.333333333328</v>
      </c>
      <c r="E25" s="30">
        <f>$E$15*B6</f>
        <v>5000</v>
      </c>
      <c r="F25" s="30">
        <f>$E$16*B6</f>
        <v>40000</v>
      </c>
      <c r="G25" s="30">
        <f t="shared" si="1"/>
        <v>138333.33333333331</v>
      </c>
      <c r="H25" s="7">
        <f t="shared" si="2"/>
        <v>518333.33333333331</v>
      </c>
    </row>
    <row r="26" spans="1:8">
      <c r="A26" s="32" t="s">
        <v>5</v>
      </c>
      <c r="B26" s="29">
        <v>240000</v>
      </c>
      <c r="C26" s="29">
        <v>0</v>
      </c>
      <c r="D26" s="30">
        <f>$E$14*B7</f>
        <v>28717.948717948715</v>
      </c>
      <c r="E26" s="30">
        <f>$E$15*B7</f>
        <v>1538.4615384615383</v>
      </c>
      <c r="F26" s="30">
        <f>$E$16*B7</f>
        <v>12307.692307692307</v>
      </c>
      <c r="G26" s="30">
        <f t="shared" si="1"/>
        <v>42564.102564102563</v>
      </c>
      <c r="H26" s="7">
        <f t="shared" si="2"/>
        <v>282564.10256410256</v>
      </c>
    </row>
    <row r="27" spans="1:8" ht="17" thickBot="1">
      <c r="A27" s="32" t="s">
        <v>13</v>
      </c>
      <c r="B27" s="29">
        <v>390000</v>
      </c>
      <c r="C27" s="29">
        <v>0</v>
      </c>
      <c r="D27" s="30">
        <f>$E$14*B8</f>
        <v>107692.30769230769</v>
      </c>
      <c r="E27" s="30">
        <f>$E$15*B8</f>
        <v>5769.2307692307686</v>
      </c>
      <c r="F27" s="30">
        <f>$E$16*B8</f>
        <v>46153.846153846149</v>
      </c>
      <c r="G27" s="37">
        <f>SUM(D27:F27)</f>
        <v>159615.3846153846</v>
      </c>
      <c r="H27" s="7">
        <f>SUM(B27:F27)</f>
        <v>549615.38461538462</v>
      </c>
    </row>
    <row r="28" spans="1:8" ht="17" thickBot="1">
      <c r="A28" s="42" t="s">
        <v>10</v>
      </c>
      <c r="B28" s="46">
        <f>SUM(B23:B27)</f>
        <v>1510000</v>
      </c>
      <c r="C28" s="46">
        <f t="shared" ref="C28:G28" si="3">SUM(C23:C27)</f>
        <v>1300000</v>
      </c>
      <c r="D28" s="46">
        <f t="shared" si="3"/>
        <v>280000</v>
      </c>
      <c r="E28" s="46">
        <f t="shared" si="3"/>
        <v>15000</v>
      </c>
      <c r="F28" s="46">
        <f t="shared" si="3"/>
        <v>120000</v>
      </c>
      <c r="G28" s="46">
        <f t="shared" si="3"/>
        <v>414999.99999999994</v>
      </c>
      <c r="H28" s="8">
        <f>SUM(H23:H27)</f>
        <v>3225000</v>
      </c>
    </row>
    <row r="32" spans="1:8" ht="17" thickBot="1">
      <c r="A32" s="2" t="s">
        <v>47</v>
      </c>
    </row>
    <row r="33" spans="1:8" ht="17" thickBot="1">
      <c r="A33" s="13"/>
      <c r="B33" s="22"/>
      <c r="C33" s="44"/>
      <c r="D33" s="125" t="s">
        <v>19</v>
      </c>
      <c r="E33" s="126"/>
      <c r="F33" s="51"/>
      <c r="G33" s="52"/>
    </row>
    <row r="34" spans="1:8">
      <c r="A34" s="14" t="s">
        <v>57</v>
      </c>
      <c r="B34" s="21" t="s">
        <v>46</v>
      </c>
      <c r="C34" s="45" t="s">
        <v>56</v>
      </c>
      <c r="D34" s="31" t="s">
        <v>26</v>
      </c>
      <c r="E34" s="31" t="s">
        <v>20</v>
      </c>
      <c r="F34" s="31" t="s">
        <v>81</v>
      </c>
      <c r="G34" s="53" t="s">
        <v>21</v>
      </c>
    </row>
    <row r="35" spans="1:8">
      <c r="A35" s="11" t="s">
        <v>4</v>
      </c>
      <c r="B35" s="16" t="s">
        <v>18</v>
      </c>
      <c r="C35" s="4">
        <f>H23</f>
        <v>1380641.0256410257</v>
      </c>
      <c r="D35" s="29">
        <f>E4</f>
        <v>20800</v>
      </c>
      <c r="E35" s="29">
        <f>F4</f>
        <v>156000</v>
      </c>
      <c r="F35" s="29">
        <f t="shared" ref="F35:F40" si="4">SUM(D35:E35)</f>
        <v>176800</v>
      </c>
      <c r="G35" s="35">
        <f t="shared" ref="G35:G40" si="5">C35/F35</f>
        <v>7.8090555748926791</v>
      </c>
    </row>
    <row r="36" spans="1:8">
      <c r="A36" s="11" t="s">
        <v>9</v>
      </c>
      <c r="B36" s="16" t="s">
        <v>43</v>
      </c>
      <c r="C36" s="4">
        <f>H24</f>
        <v>493846.15384615381</v>
      </c>
      <c r="D36" s="29">
        <f t="shared" ref="D36:E39" si="6">E5</f>
        <v>400</v>
      </c>
      <c r="E36" s="29">
        <f t="shared" si="6"/>
        <v>2400</v>
      </c>
      <c r="F36" s="29">
        <f>SUM(D36:E36)</f>
        <v>2800</v>
      </c>
      <c r="G36" s="35">
        <f t="shared" si="5"/>
        <v>176.37362637362637</v>
      </c>
    </row>
    <row r="37" spans="1:8">
      <c r="A37" s="11" t="s">
        <v>6</v>
      </c>
      <c r="B37" s="16" t="s">
        <v>8</v>
      </c>
      <c r="C37" s="4">
        <f>H25</f>
        <v>518333.33333333331</v>
      </c>
      <c r="D37" s="29">
        <f t="shared" si="6"/>
        <v>400</v>
      </c>
      <c r="E37" s="29">
        <f t="shared" si="6"/>
        <v>600</v>
      </c>
      <c r="F37" s="29">
        <f t="shared" si="4"/>
        <v>1000</v>
      </c>
      <c r="G37" s="35">
        <f t="shared" si="5"/>
        <v>518.33333333333326</v>
      </c>
    </row>
    <row r="38" spans="1:8">
      <c r="A38" s="11" t="s">
        <v>23</v>
      </c>
      <c r="B38" s="16" t="s">
        <v>16</v>
      </c>
      <c r="C38" s="5">
        <f>H26/2</f>
        <v>141282.05128205128</v>
      </c>
      <c r="D38" s="29">
        <f t="shared" si="6"/>
        <v>41600</v>
      </c>
      <c r="E38" s="29">
        <f t="shared" si="6"/>
        <v>156000</v>
      </c>
      <c r="F38" s="29">
        <f t="shared" si="4"/>
        <v>197600</v>
      </c>
      <c r="G38" s="35">
        <f t="shared" si="5"/>
        <v>0.71499013806706113</v>
      </c>
    </row>
    <row r="39" spans="1:8">
      <c r="A39" s="11" t="s">
        <v>24</v>
      </c>
      <c r="B39" s="16" t="s">
        <v>17</v>
      </c>
      <c r="C39" s="5">
        <f>H26/2</f>
        <v>141282.05128205128</v>
      </c>
      <c r="D39" s="29">
        <f t="shared" si="6"/>
        <v>0</v>
      </c>
      <c r="E39" s="29">
        <f t="shared" si="6"/>
        <v>31200</v>
      </c>
      <c r="F39" s="29">
        <f t="shared" si="4"/>
        <v>31200</v>
      </c>
      <c r="G39" s="35">
        <f t="shared" si="5"/>
        <v>4.5282708744247202</v>
      </c>
    </row>
    <row r="40" spans="1:8" ht="17" thickBot="1">
      <c r="A40" s="11" t="s">
        <v>7</v>
      </c>
      <c r="B40" s="16" t="s">
        <v>44</v>
      </c>
      <c r="C40" s="4">
        <f>H27</f>
        <v>549615.38461538462</v>
      </c>
      <c r="D40" s="29">
        <f>E9</f>
        <v>41600</v>
      </c>
      <c r="E40" s="29">
        <f>F9</f>
        <v>187200</v>
      </c>
      <c r="F40" s="29">
        <f t="shared" si="4"/>
        <v>228800</v>
      </c>
      <c r="G40" s="35">
        <f t="shared" si="5"/>
        <v>2.4021651425497579</v>
      </c>
    </row>
    <row r="41" spans="1:8" ht="17" thickBot="1">
      <c r="A41" s="12"/>
      <c r="B41" s="81" t="s">
        <v>78</v>
      </c>
      <c r="C41" s="80">
        <f>SUM(C35:C40)</f>
        <v>3225000.0000000005</v>
      </c>
      <c r="D41" s="93">
        <f>SUM(D35:D40)</f>
        <v>104800</v>
      </c>
      <c r="E41" s="93">
        <f>SUM(E35:E40)</f>
        <v>533400</v>
      </c>
      <c r="F41" s="93">
        <f>SUM(F35:F40)</f>
        <v>638200</v>
      </c>
      <c r="G41" s="95">
        <f>SUM(G35:G40)</f>
        <v>710.16144143689382</v>
      </c>
      <c r="H41" s="94"/>
    </row>
    <row r="44" spans="1:8" ht="17" thickBot="1">
      <c r="A44" s="127" t="s">
        <v>82</v>
      </c>
      <c r="B44" s="127"/>
      <c r="C44" s="41"/>
    </row>
    <row r="45" spans="1:8" ht="17" thickBot="1">
      <c r="A45" s="59"/>
      <c r="B45" s="60" t="s">
        <v>30</v>
      </c>
      <c r="C45" s="60" t="s">
        <v>26</v>
      </c>
      <c r="D45" s="60" t="s">
        <v>58</v>
      </c>
      <c r="E45" s="61" t="s">
        <v>10</v>
      </c>
    </row>
    <row r="46" spans="1:8">
      <c r="A46" s="47" t="s">
        <v>48</v>
      </c>
      <c r="B46" s="29"/>
      <c r="C46" s="29">
        <v>55</v>
      </c>
      <c r="D46" s="29">
        <v>303</v>
      </c>
      <c r="E46" s="33">
        <f>SUM(C46:D46)</f>
        <v>358</v>
      </c>
    </row>
    <row r="47" spans="1:8">
      <c r="A47" s="47" t="s">
        <v>27</v>
      </c>
      <c r="B47" s="29">
        <v>25</v>
      </c>
      <c r="C47" s="29">
        <f>E7*B47</f>
        <v>1040000</v>
      </c>
      <c r="D47" s="29">
        <f>F7*B47</f>
        <v>3900000</v>
      </c>
      <c r="E47" s="33">
        <f>SUM(C47:D47)</f>
        <v>4940000</v>
      </c>
    </row>
    <row r="48" spans="1:8">
      <c r="A48" s="47" t="s">
        <v>28</v>
      </c>
      <c r="B48" s="29">
        <v>39</v>
      </c>
      <c r="C48" s="29">
        <f>B48*E8</f>
        <v>0</v>
      </c>
      <c r="D48" s="29">
        <f>B48*F8</f>
        <v>1216800</v>
      </c>
      <c r="E48" s="33">
        <f>SUM(C48:D48)</f>
        <v>1216800</v>
      </c>
    </row>
    <row r="49" spans="1:5">
      <c r="A49" s="47"/>
      <c r="B49" s="29"/>
      <c r="C49" s="29"/>
      <c r="D49" s="29"/>
      <c r="E49" s="33"/>
    </row>
    <row r="50" spans="1:5">
      <c r="A50" s="48" t="s">
        <v>29</v>
      </c>
      <c r="B50" s="29"/>
      <c r="C50" s="29"/>
      <c r="D50" s="29"/>
      <c r="E50" s="33"/>
    </row>
    <row r="51" spans="1:5">
      <c r="A51" s="47" t="s">
        <v>4</v>
      </c>
      <c r="B51" s="29"/>
      <c r="C51" s="30">
        <f>G35*D35</f>
        <v>162428.35595776772</v>
      </c>
      <c r="D51" s="30">
        <f t="shared" ref="D51:D56" si="7">G35*E35</f>
        <v>1218212.669683258</v>
      </c>
      <c r="E51" s="35">
        <f>SUM(C51:D51)</f>
        <v>1380641.0256410257</v>
      </c>
    </row>
    <row r="52" spans="1:5">
      <c r="A52" s="47" t="s">
        <v>9</v>
      </c>
      <c r="B52" s="29"/>
      <c r="C52" s="30">
        <f>G36*D36</f>
        <v>70549.450549450543</v>
      </c>
      <c r="D52" s="30">
        <f t="shared" si="7"/>
        <v>423296.70329670329</v>
      </c>
      <c r="E52" s="35">
        <f t="shared" ref="E52:E56" si="8">SUM(C52:D52)</f>
        <v>493846.15384615381</v>
      </c>
    </row>
    <row r="53" spans="1:5">
      <c r="A53" s="47" t="s">
        <v>6</v>
      </c>
      <c r="B53" s="29"/>
      <c r="C53" s="30">
        <f>G37*D37</f>
        <v>207333.33333333331</v>
      </c>
      <c r="D53" s="30">
        <f t="shared" si="7"/>
        <v>310999.99999999994</v>
      </c>
      <c r="E53" s="35">
        <f t="shared" si="8"/>
        <v>518333.33333333326</v>
      </c>
    </row>
    <row r="54" spans="1:5">
      <c r="A54" s="47" t="s">
        <v>23</v>
      </c>
      <c r="B54" s="29"/>
      <c r="C54" s="30">
        <f>G38*D38</f>
        <v>29743.589743589742</v>
      </c>
      <c r="D54" s="30">
        <f t="shared" si="7"/>
        <v>111538.46153846153</v>
      </c>
      <c r="E54" s="35">
        <f t="shared" si="8"/>
        <v>141282.05128205128</v>
      </c>
    </row>
    <row r="55" spans="1:5">
      <c r="A55" s="47" t="s">
        <v>24</v>
      </c>
      <c r="B55" s="29"/>
      <c r="C55" s="30">
        <f t="shared" ref="C55" si="9">G39*D39</f>
        <v>0</v>
      </c>
      <c r="D55" s="30">
        <f t="shared" si="7"/>
        <v>141282.05128205128</v>
      </c>
      <c r="E55" s="35">
        <f t="shared" si="8"/>
        <v>141282.05128205128</v>
      </c>
    </row>
    <row r="56" spans="1:5" ht="17" thickBot="1">
      <c r="A56" s="47" t="s">
        <v>13</v>
      </c>
      <c r="B56" s="29"/>
      <c r="C56" s="73">
        <f>G40*D40</f>
        <v>99930.069930069934</v>
      </c>
      <c r="D56" s="73">
        <f t="shared" si="7"/>
        <v>449685.31468531466</v>
      </c>
      <c r="E56" s="74">
        <f t="shared" si="8"/>
        <v>549615.38461538462</v>
      </c>
    </row>
    <row r="57" spans="1:5" ht="17" thickTop="1">
      <c r="A57" s="48" t="s">
        <v>49</v>
      </c>
      <c r="B57" s="29"/>
      <c r="C57" s="30">
        <f>SUM(C51:C56)</f>
        <v>569984.79951421125</v>
      </c>
      <c r="D57" s="30">
        <f>SUM(D51:D56)</f>
        <v>2655015.2004857892</v>
      </c>
      <c r="E57" s="72">
        <f t="shared" ref="E57" si="10">SUM(E51:E56)</f>
        <v>3225000.0000000005</v>
      </c>
    </row>
    <row r="58" spans="1:5" ht="17" thickBot="1">
      <c r="A58" s="47"/>
      <c r="B58" s="29"/>
      <c r="C58" s="29"/>
      <c r="D58" s="29"/>
      <c r="E58" s="71"/>
    </row>
    <row r="59" spans="1:5" ht="17" thickBot="1">
      <c r="A59" s="48" t="s">
        <v>31</v>
      </c>
      <c r="B59" s="46"/>
      <c r="C59" s="75">
        <f>SUM(C46:C48)+C57</f>
        <v>1610039.7995142112</v>
      </c>
      <c r="D59" s="75">
        <f>SUM(D46:D48)+D57</f>
        <v>7772118.2004857892</v>
      </c>
      <c r="E59" s="76">
        <f>SUM(E46:E48)+E57</f>
        <v>9382158</v>
      </c>
    </row>
    <row r="60" spans="1:5">
      <c r="A60" s="47"/>
      <c r="B60" s="29"/>
      <c r="C60" s="29"/>
      <c r="D60" s="29"/>
      <c r="E60" s="33"/>
    </row>
    <row r="61" spans="1:5">
      <c r="A61" s="47" t="s">
        <v>50</v>
      </c>
      <c r="B61" s="29"/>
      <c r="C61" s="29">
        <f>E6</f>
        <v>400</v>
      </c>
      <c r="D61" s="29">
        <f>F6</f>
        <v>600</v>
      </c>
      <c r="E61" s="33"/>
    </row>
    <row r="62" spans="1:5" ht="17" thickBot="1">
      <c r="A62" s="82" t="s">
        <v>32</v>
      </c>
      <c r="B62" s="83"/>
      <c r="C62" s="84">
        <f>C59/C61</f>
        <v>4025.0994987855283</v>
      </c>
      <c r="D62" s="84">
        <f>D59/D61</f>
        <v>12953.530334142983</v>
      </c>
      <c r="E62" s="85"/>
    </row>
    <row r="65" spans="1:7" ht="17" thickBot="1">
      <c r="A65" s="2" t="s">
        <v>83</v>
      </c>
      <c r="E65" s="2" t="s">
        <v>70</v>
      </c>
    </row>
    <row r="66" spans="1:7" ht="17" thickBot="1">
      <c r="A66" s="62"/>
      <c r="B66" s="60" t="s">
        <v>64</v>
      </c>
      <c r="C66" s="61" t="s">
        <v>65</v>
      </c>
      <c r="E66" s="63"/>
      <c r="F66" s="64" t="s">
        <v>66</v>
      </c>
      <c r="G66" s="65" t="s">
        <v>67</v>
      </c>
    </row>
    <row r="67" spans="1:7">
      <c r="A67" s="32" t="s">
        <v>61</v>
      </c>
      <c r="B67" s="29">
        <f>F74</f>
        <v>55</v>
      </c>
      <c r="C67" s="33">
        <f>G74</f>
        <v>303</v>
      </c>
      <c r="E67" s="15" t="s">
        <v>14</v>
      </c>
      <c r="F67" s="23">
        <v>1</v>
      </c>
      <c r="G67" s="24">
        <v>4</v>
      </c>
    </row>
    <row r="68" spans="1:7">
      <c r="A68" s="32" t="s">
        <v>27</v>
      </c>
      <c r="B68" s="29">
        <f>F69*F78</f>
        <v>2600</v>
      </c>
      <c r="C68" s="33">
        <f>G69*G78</f>
        <v>6500</v>
      </c>
      <c r="E68" s="15" t="s">
        <v>15</v>
      </c>
      <c r="F68" s="23">
        <v>52</v>
      </c>
      <c r="G68" s="24">
        <v>260</v>
      </c>
    </row>
    <row r="69" spans="1:7">
      <c r="A69" s="32" t="s">
        <v>28</v>
      </c>
      <c r="B69" s="29">
        <f>F70*F79</f>
        <v>0</v>
      </c>
      <c r="C69" s="33">
        <f>G70*G79</f>
        <v>2028</v>
      </c>
      <c r="E69" s="15" t="s">
        <v>68</v>
      </c>
      <c r="F69" s="23">
        <v>104</v>
      </c>
      <c r="G69" s="24">
        <v>260</v>
      </c>
    </row>
    <row r="70" spans="1:7">
      <c r="A70" s="32"/>
      <c r="B70" s="29"/>
      <c r="C70" s="33"/>
      <c r="E70" s="15" t="s">
        <v>17</v>
      </c>
      <c r="F70" s="23">
        <v>0</v>
      </c>
      <c r="G70" s="24">
        <v>52</v>
      </c>
    </row>
    <row r="71" spans="1:7">
      <c r="A71" s="34" t="s">
        <v>29</v>
      </c>
      <c r="B71" s="29"/>
      <c r="C71" s="33"/>
      <c r="E71" s="15" t="s">
        <v>69</v>
      </c>
      <c r="F71" s="23">
        <f>(F69+F70)</f>
        <v>104</v>
      </c>
      <c r="G71" s="24">
        <f>(G69+G70)</f>
        <v>312</v>
      </c>
    </row>
    <row r="72" spans="1:7">
      <c r="A72" s="32" t="s">
        <v>4</v>
      </c>
      <c r="B72" s="30">
        <f>F68*G35</f>
        <v>406.07088989441934</v>
      </c>
      <c r="C72" s="35">
        <f>G68*G35</f>
        <v>2030.3544494720966</v>
      </c>
      <c r="E72" s="15" t="s">
        <v>6</v>
      </c>
      <c r="F72" s="23">
        <v>1</v>
      </c>
      <c r="G72" s="24">
        <v>1</v>
      </c>
    </row>
    <row r="73" spans="1:7">
      <c r="A73" s="32" t="s">
        <v>62</v>
      </c>
      <c r="B73" s="30">
        <f>F67*G36</f>
        <v>176.37362637362637</v>
      </c>
      <c r="C73" s="35">
        <f>G67*G36</f>
        <v>705.49450549450546</v>
      </c>
      <c r="E73" s="15" t="s">
        <v>13</v>
      </c>
      <c r="F73" s="23">
        <f>F71</f>
        <v>104</v>
      </c>
      <c r="G73" s="24">
        <f>G71</f>
        <v>312</v>
      </c>
    </row>
    <row r="74" spans="1:7" ht="17" thickBot="1">
      <c r="A74" s="32" t="s">
        <v>6</v>
      </c>
      <c r="B74" s="30"/>
      <c r="C74" s="35"/>
      <c r="E74" s="18" t="s">
        <v>48</v>
      </c>
      <c r="F74" s="25">
        <v>55</v>
      </c>
      <c r="G74" s="26">
        <v>303</v>
      </c>
    </row>
    <row r="75" spans="1:7">
      <c r="A75" s="32" t="s">
        <v>23</v>
      </c>
      <c r="B75" s="30">
        <f>F69*G38</f>
        <v>74.358974358974365</v>
      </c>
      <c r="C75" s="35">
        <f>G69*G38</f>
        <v>185.89743589743588</v>
      </c>
    </row>
    <row r="76" spans="1:7" ht="17" thickBot="1">
      <c r="A76" s="32" t="s">
        <v>24</v>
      </c>
      <c r="B76" s="30">
        <f>F70*G39</f>
        <v>0</v>
      </c>
      <c r="C76" s="35">
        <f>G70*G39</f>
        <v>235.47008547008545</v>
      </c>
      <c r="E76" s="2" t="s">
        <v>73</v>
      </c>
    </row>
    <row r="77" spans="1:7" ht="17" thickBot="1">
      <c r="A77" s="32" t="s">
        <v>13</v>
      </c>
      <c r="B77" s="30">
        <f>F73*G40</f>
        <v>249.82517482517483</v>
      </c>
      <c r="C77" s="35">
        <f>G73*G40</f>
        <v>749.47552447552448</v>
      </c>
      <c r="E77" s="66"/>
      <c r="F77" s="64" t="s">
        <v>79</v>
      </c>
      <c r="G77" s="65" t="s">
        <v>80</v>
      </c>
    </row>
    <row r="78" spans="1:7">
      <c r="A78" s="77" t="s">
        <v>49</v>
      </c>
      <c r="B78" s="30">
        <f>SUM(B72:B77)</f>
        <v>906.62866545219492</v>
      </c>
      <c r="C78" s="35">
        <f>SUM(C72:C77)</f>
        <v>3906.6920008096477</v>
      </c>
      <c r="E78" s="15" t="s">
        <v>71</v>
      </c>
      <c r="F78" s="16">
        <v>25</v>
      </c>
      <c r="G78" s="17">
        <v>25</v>
      </c>
    </row>
    <row r="79" spans="1:7" ht="17" thickBot="1">
      <c r="A79" s="32"/>
      <c r="B79" s="29"/>
      <c r="C79" s="33"/>
      <c r="E79" s="18" t="s">
        <v>72</v>
      </c>
      <c r="F79" s="19">
        <v>39</v>
      </c>
      <c r="G79" s="20">
        <v>39</v>
      </c>
    </row>
    <row r="80" spans="1:7" ht="17" thickBot="1">
      <c r="A80" s="42" t="s">
        <v>63</v>
      </c>
      <c r="B80" s="78">
        <f>SUM(B67:B69)+B78</f>
        <v>3561.628665452195</v>
      </c>
      <c r="C80" s="79">
        <f>SUM(C67:C69)+C78</f>
        <v>12737.692000809648</v>
      </c>
    </row>
  </sheetData>
  <mergeCells count="4">
    <mergeCell ref="D33:E33"/>
    <mergeCell ref="A44:B44"/>
    <mergeCell ref="B21:C21"/>
    <mergeCell ref="D21:G2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1b36e95-0d50-42e9-958f-b63fa906beaa}" enabled="0" method="" siteId="{d1b36e95-0d50-42e9-958f-b63fa906bea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Information</vt:lpstr>
      <vt:lpstr>Analysis v2.0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Kea Churchill</dc:creator>
  <cp:lastModifiedBy>Kea Churchill</cp:lastModifiedBy>
  <dcterms:created xsi:type="dcterms:W3CDTF">2025-04-17T11:04:59Z</dcterms:created>
  <dcterms:modified xsi:type="dcterms:W3CDTF">2026-03-26T09:56:39Z</dcterms:modified>
</cp:coreProperties>
</file>